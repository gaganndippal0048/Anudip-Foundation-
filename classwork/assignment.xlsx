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69D1A6B0030540/Documents/"/>
    </mc:Choice>
  </mc:AlternateContent>
  <xr:revisionPtr revIDLastSave="0" documentId="8_{21CCAB22-21EF-46C8-89D3-4B3FD90AC59D}" xr6:coauthVersionLast="47" xr6:coauthVersionMax="47" xr10:uidLastSave="{00000000-0000-0000-0000-000000000000}"/>
  <bookViews>
    <workbookView xWindow="-108" yWindow="-108" windowWidth="23256" windowHeight="12456" xr2:uid="{A4449001-D007-451C-BC3C-3B7FB5D94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L2" i="1"/>
  <c r="H2" i="1"/>
  <c r="K2" i="1"/>
  <c r="J2" i="1"/>
  <c r="I2" i="1"/>
  <c r="G2" i="1"/>
</calcChain>
</file>

<file path=xl/sharedStrings.xml><?xml version="1.0" encoding="utf-8"?>
<sst xmlns="http://schemas.openxmlformats.org/spreadsheetml/2006/main" count="43" uniqueCount="25">
  <si>
    <t>OrderID</t>
  </si>
  <si>
    <t>Region</t>
  </si>
  <si>
    <t>Category</t>
  </si>
  <si>
    <t>Sales</t>
  </si>
  <si>
    <t>Quantity</t>
  </si>
  <si>
    <t>Month</t>
  </si>
  <si>
    <t>East</t>
  </si>
  <si>
    <t>Electronics</t>
  </si>
  <si>
    <t>Jan</t>
  </si>
  <si>
    <t>West</t>
  </si>
  <si>
    <t>Furniture</t>
  </si>
  <si>
    <t>Feb</t>
  </si>
  <si>
    <t>South</t>
  </si>
  <si>
    <t>Clothing</t>
  </si>
  <si>
    <t>North</t>
  </si>
  <si>
    <t>Mar</t>
  </si>
  <si>
    <t>Apr</t>
  </si>
  <si>
    <t>May</t>
  </si>
  <si>
    <t>TOTAL SALES</t>
  </si>
  <si>
    <t>SALESEAST</t>
  </si>
  <si>
    <t>ELECTRONICS</t>
  </si>
  <si>
    <t>EAST ELECTRONICS</t>
  </si>
  <si>
    <t>January</t>
  </si>
  <si>
    <t>Quantityofelectronics</t>
  </si>
  <si>
    <t>QuantityOfElectronicsInEast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</si>
</sst>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4B266-E0DA-4653-9B5E-14C0A8AFC62F}" name="Table1" displayName="Table1" ref="A1:M11" totalsRowShown="0" headerRowCellStyle="Normal" dataCellStyle="Normal">
  <autoFilter ref="A1:M11" xr:uid="{5FE4B266-E0DA-4653-9B5E-14C0A8AFC62F}"/>
  <tableColumns count="13">
    <tableColumn id="1" xr3:uid="{A6C427C8-2DEB-43FC-8F73-EA2FA7A1D6ED}" name="OrderID" dataCellStyle="Normal"/>
    <tableColumn id="2" xr3:uid="{AA0CA4B6-8D37-4CCD-8F27-B3A85460370C}" name="Region" dataCellStyle="Normal"/>
    <tableColumn id="3" xr3:uid="{61D55F1C-633C-4E99-AB5B-B75A861C0525}" name="Category" dataCellStyle="Normal"/>
    <tableColumn id="4" xr3:uid="{8F6BDEF2-C522-421D-B43A-1F13A61C8FBC}" name="Sales" dataCellStyle="Normal"/>
    <tableColumn id="5" xr3:uid="{330A7DFB-9019-480A-9E4C-FD324BCFB6BD}" name="Quantity" dataCellStyle="Normal"/>
    <tableColumn id="6" xr3:uid="{283A4CBC-6AF9-4E53-8567-322F86D12942}" name="Month" dataCellStyle="Normal"/>
    <tableColumn id="7" xr3:uid="{2CCB49FC-1D3C-4D48-954C-1CE8029E46E3}" name="TOTAL SALES" dataDxfId="6" dataCellStyle="Normal">
      <calculatedColumnFormula>SUM(Table1[Sales])</calculatedColumnFormula>
    </tableColumn>
    <tableColumn id="8" xr3:uid="{4A098293-C0E9-4635-9671-2DA06E847A9B}" name="SALESEAST" dataDxfId="2" dataCellStyle="Normal">
      <calculatedColumnFormula>SUMIFS(Table1[Sales],Table1[Region],"=East")</calculatedColumnFormula>
    </tableColumn>
    <tableColumn id="9" xr3:uid="{00C207C9-B480-4E48-B048-57C47CC46F6A}" name="ELECTRONICS" dataDxfId="5" dataCellStyle="Normal">
      <calculatedColumnFormula>SUMIFS(Table1[Sales],Table1[Category],"=Electronics")</calculatedColumnFormula>
    </tableColumn>
    <tableColumn id="10" xr3:uid="{A5596338-20A5-4B48-9246-B806848125C7}" name="EAST ELECTRONICS" dataDxfId="4" dataCellStyle="Normal">
      <calculatedColumnFormula>SUMIFS(Table1[Sales],Table1[Category],"=Electronics",Table1[Region],"=East")</calculatedColumnFormula>
    </tableColumn>
    <tableColumn id="11" xr3:uid="{EBFB0B89-EE42-46EF-BF1F-6830970C88CB}" name="January" dataDxfId="3" dataCellStyle="Normal">
      <calculatedColumnFormula>SUMIFS(Table1[Sales],Table1[Month],"=JAN")</calculatedColumnFormula>
    </tableColumn>
    <tableColumn id="12" xr3:uid="{BEB60516-A95B-4A38-B556-C48E252D1841}" name="Quantityofelectronics" dataDxfId="1" dataCellStyle="Normal">
      <calculatedColumnFormula>SUMIFS(Table1[Quantity],Table1[Category],"=Electronics")</calculatedColumnFormula>
    </tableColumn>
    <tableColumn id="13" xr3:uid="{E8892B8E-0DFC-48AA-BEB7-406CDF5CC8CB}" name="QuantityOfElectronicsInEast" dataDxfId="0" dataCellStyle="Normal">
      <calculatedColumnFormula>SUMIFS(Table1[Quantity],Table1[Category],"=Electronics",Table1[Region],"=East")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156E-0F09-47E3-B954-088B4ACEDBF1}">
  <dimension ref="A1:M11"/>
  <sheetViews>
    <sheetView tabSelected="1" workbookViewId="0">
      <selection activeCell="M3" sqref="M3:M11"/>
    </sheetView>
  </sheetViews>
  <sheetFormatPr defaultRowHeight="14.4" x14ac:dyDescent="0.3"/>
  <cols>
    <col min="1" max="1" width="9.6640625" customWidth="1"/>
    <col min="2" max="2" width="9.21875" customWidth="1"/>
    <col min="3" max="3" width="10.5546875" customWidth="1"/>
    <col min="5" max="5" width="10.109375" customWidth="1"/>
    <col min="7" max="7" width="12.5546875" customWidth="1"/>
    <col min="8" max="8" width="13.21875" customWidth="1"/>
    <col min="9" max="9" width="15" customWidth="1"/>
    <col min="10" max="10" width="18.109375" customWidth="1"/>
    <col min="12" max="12" width="19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 spans="1:13" x14ac:dyDescent="0.3">
      <c r="A2">
        <v>101</v>
      </c>
      <c r="B2" t="s">
        <v>6</v>
      </c>
      <c r="C2" t="s">
        <v>7</v>
      </c>
      <c r="D2">
        <v>25000</v>
      </c>
      <c r="E2">
        <v>5</v>
      </c>
      <c r="F2" t="s">
        <v>8</v>
      </c>
      <c r="G2" s="1">
        <f>SUM(Table1[Sales])</f>
        <v>226000</v>
      </c>
      <c r="H2" s="1">
        <f>SUMIFS(Table1[Sales],Table1[Region],"=East")</f>
        <v>94000</v>
      </c>
      <c r="I2" s="1">
        <f>SUMIFS(Table1[Sales],Table1[Category],"=Electronics")</f>
        <v>115000</v>
      </c>
      <c r="J2" s="2">
        <f>SUMIFS(Table1[Sales],Table1[Category],"=Electronics",Table1[Region],"=East")</f>
        <v>55000</v>
      </c>
      <c r="K2" s="2">
        <f>SUMIFS(Table1[Sales],Table1[Month],"=JAN")</f>
        <v>43000</v>
      </c>
      <c r="L2" s="2">
        <f>SUMIFS(Table1[Quantity],Table1[Category],"=Electronics")</f>
        <v>28</v>
      </c>
      <c r="M2" s="2">
        <f>SUMIFS(Table1[Quantity],Table1[Category],"=Electronics",Table1[Region],"=East")</f>
        <v>11</v>
      </c>
    </row>
    <row r="3" spans="1:13" x14ac:dyDescent="0.3">
      <c r="A3">
        <v>102</v>
      </c>
      <c r="B3" t="s">
        <v>9</v>
      </c>
      <c r="C3" t="s">
        <v>10</v>
      </c>
      <c r="D3">
        <v>18000</v>
      </c>
      <c r="E3">
        <v>1</v>
      </c>
      <c r="F3" t="s">
        <v>8</v>
      </c>
      <c r="G3" s="1"/>
      <c r="H3" s="1"/>
      <c r="I3" s="1"/>
      <c r="J3" s="2"/>
      <c r="K3" s="2"/>
      <c r="L3" s="2"/>
      <c r="M3" s="2"/>
    </row>
    <row r="4" spans="1:13" x14ac:dyDescent="0.3">
      <c r="A4">
        <v>103</v>
      </c>
      <c r="B4" t="s">
        <v>6</v>
      </c>
      <c r="C4" t="s">
        <v>7</v>
      </c>
      <c r="D4">
        <v>30000</v>
      </c>
      <c r="E4">
        <v>6</v>
      </c>
      <c r="F4" t="s">
        <v>11</v>
      </c>
      <c r="G4" s="1"/>
      <c r="H4" s="1"/>
      <c r="I4" s="1"/>
      <c r="J4" s="2"/>
      <c r="K4" s="2"/>
      <c r="L4" s="2"/>
      <c r="M4" s="2"/>
    </row>
    <row r="5" spans="1:13" x14ac:dyDescent="0.3">
      <c r="A5">
        <v>104</v>
      </c>
      <c r="B5" t="s">
        <v>12</v>
      </c>
      <c r="C5" t="s">
        <v>13</v>
      </c>
      <c r="D5">
        <v>12000</v>
      </c>
      <c r="E5">
        <v>4</v>
      </c>
      <c r="F5" t="s">
        <v>11</v>
      </c>
      <c r="G5" s="1"/>
      <c r="H5" s="1"/>
      <c r="I5" s="1"/>
      <c r="J5" s="2"/>
      <c r="K5" s="2"/>
      <c r="L5" s="2"/>
      <c r="M5" s="2"/>
    </row>
    <row r="6" spans="1:13" x14ac:dyDescent="0.3">
      <c r="A6">
        <v>105</v>
      </c>
      <c r="B6" t="s">
        <v>14</v>
      </c>
      <c r="C6" t="s">
        <v>10</v>
      </c>
      <c r="D6">
        <v>22000</v>
      </c>
      <c r="E6">
        <v>5</v>
      </c>
      <c r="F6" t="s">
        <v>15</v>
      </c>
      <c r="G6" s="1"/>
      <c r="H6" s="1"/>
      <c r="I6" s="1"/>
      <c r="J6" s="2"/>
      <c r="K6" s="2"/>
      <c r="L6" s="2"/>
      <c r="M6" s="2"/>
    </row>
    <row r="7" spans="1:13" x14ac:dyDescent="0.3">
      <c r="A7">
        <v>106</v>
      </c>
      <c r="B7" t="s">
        <v>6</v>
      </c>
      <c r="C7" t="s">
        <v>13</v>
      </c>
      <c r="D7">
        <v>15000</v>
      </c>
      <c r="E7">
        <v>3</v>
      </c>
      <c r="F7" t="s">
        <v>15</v>
      </c>
      <c r="G7" s="1"/>
      <c r="H7" s="1"/>
      <c r="I7" s="1"/>
      <c r="J7" s="2"/>
      <c r="K7" s="2"/>
      <c r="L7" s="2"/>
      <c r="M7" s="2"/>
    </row>
    <row r="8" spans="1:13" x14ac:dyDescent="0.3">
      <c r="A8">
        <v>107</v>
      </c>
      <c r="B8" t="s">
        <v>9</v>
      </c>
      <c r="C8" t="s">
        <v>7</v>
      </c>
      <c r="D8">
        <v>28000</v>
      </c>
      <c r="E8">
        <v>7</v>
      </c>
      <c r="F8" t="s">
        <v>16</v>
      </c>
      <c r="G8" s="1"/>
      <c r="H8" s="1"/>
      <c r="I8" s="1"/>
      <c r="J8" s="2"/>
      <c r="K8" s="2"/>
      <c r="L8" s="2"/>
      <c r="M8" s="2"/>
    </row>
    <row r="9" spans="1:13" x14ac:dyDescent="0.3">
      <c r="A9">
        <v>108</v>
      </c>
      <c r="B9" t="s">
        <v>12</v>
      </c>
      <c r="C9" t="s">
        <v>10</v>
      </c>
      <c r="D9">
        <v>20000</v>
      </c>
      <c r="E9">
        <v>4</v>
      </c>
      <c r="F9" t="s">
        <v>16</v>
      </c>
      <c r="G9" s="1"/>
      <c r="H9" s="1"/>
      <c r="I9" s="1"/>
      <c r="J9" s="2"/>
      <c r="K9" s="2"/>
      <c r="L9" s="2"/>
      <c r="M9" s="2"/>
    </row>
    <row r="10" spans="1:13" x14ac:dyDescent="0.3">
      <c r="A10">
        <v>109</v>
      </c>
      <c r="B10" t="s">
        <v>14</v>
      </c>
      <c r="C10" t="s">
        <v>7</v>
      </c>
      <c r="D10">
        <v>32000</v>
      </c>
      <c r="E10">
        <v>10</v>
      </c>
      <c r="F10" t="s">
        <v>17</v>
      </c>
      <c r="G10" s="1"/>
      <c r="H10" s="1"/>
      <c r="I10" s="1"/>
      <c r="J10" s="2"/>
      <c r="K10" s="2"/>
      <c r="L10" s="2"/>
      <c r="M10" s="2"/>
    </row>
    <row r="11" spans="1:13" x14ac:dyDescent="0.3">
      <c r="A11">
        <v>110</v>
      </c>
      <c r="B11" t="s">
        <v>6</v>
      </c>
      <c r="C11" t="s">
        <v>10</v>
      </c>
      <c r="D11">
        <v>24000</v>
      </c>
      <c r="E11">
        <v>8</v>
      </c>
      <c r="F11" t="s">
        <v>17</v>
      </c>
      <c r="G11" s="1"/>
      <c r="H11" s="1"/>
      <c r="I11" s="1"/>
      <c r="J11" s="2"/>
      <c r="K11" s="2"/>
      <c r="L11" s="2"/>
      <c r="M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Gaganndip Pal</dc:creator>
  <cp:lastModifiedBy>Gaganndip Pal</cp:lastModifiedBy>
  <dcterms:created xsi:type="dcterms:W3CDTF">2026-01-08T11:10:44Z</dcterms:created>
  <dcterms:modified xsi:type="dcterms:W3CDTF">2026-01-08T11:33:37Z</dcterms:modified>
</cp:coreProperties>
</file>