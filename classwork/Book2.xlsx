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69D1A6B0030540/Documents/"/>
    </mc:Choice>
  </mc:AlternateContent>
  <xr:revisionPtr revIDLastSave="0" documentId="8_{DF9446CD-5FED-4A0E-AD9D-B2267A9684A8}" xr6:coauthVersionLast="47" xr6:coauthVersionMax="47" xr10:uidLastSave="{00000000-0000-0000-0000-000000000000}"/>
  <bookViews>
    <workbookView xWindow="11424" yWindow="0" windowWidth="11712" windowHeight="12336" xr2:uid="{B38B2BF4-B9B3-49BC-AD67-1D9940CA1A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M16" i="1"/>
  <c r="J3" i="1"/>
  <c r="J4" i="1"/>
  <c r="J5" i="1"/>
  <c r="J6" i="1"/>
  <c r="J7" i="1"/>
  <c r="J2" i="1"/>
  <c r="G2" i="1"/>
  <c r="I3" i="1"/>
  <c r="I4" i="1"/>
  <c r="I5" i="1"/>
  <c r="I6" i="1"/>
  <c r="I7" i="1"/>
  <c r="I2" i="1"/>
  <c r="H2" i="1"/>
  <c r="G3" i="1"/>
  <c r="G4" i="1"/>
  <c r="G5" i="1"/>
  <c r="G6" i="1"/>
  <c r="G7" i="1"/>
  <c r="F3" i="1"/>
  <c r="F4" i="1"/>
  <c r="F5" i="1"/>
  <c r="F6" i="1"/>
  <c r="F7" i="1"/>
  <c r="F2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<sst xmlns="http://schemas.openxmlformats.org/spreadsheetml/2006/main" count="31" uniqueCount="20">
  <si>
    <t>Name</t>
  </si>
  <si>
    <t>S1</t>
  </si>
  <si>
    <t>S2</t>
  </si>
  <si>
    <t>S3</t>
  </si>
  <si>
    <t>Ankita</t>
  </si>
  <si>
    <t>Vinay</t>
  </si>
  <si>
    <t>Lopa</t>
  </si>
  <si>
    <t>Dipa</t>
  </si>
  <si>
    <t>Amit</t>
  </si>
  <si>
    <t>Sum1</t>
  </si>
  <si>
    <t>Sum2</t>
  </si>
  <si>
    <t>Sum3</t>
  </si>
  <si>
    <t>NAME</t>
  </si>
  <si>
    <t>MANAGER</t>
  </si>
  <si>
    <t>A</t>
  </si>
  <si>
    <t>B</t>
  </si>
  <si>
    <t>C</t>
  </si>
  <si>
    <t>AVG1</t>
  </si>
  <si>
    <t>AVG2</t>
  </si>
  <si>
    <t>AVG3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</si>
</sst>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3880F-8B3B-40B1-ADBA-7DCB6157F781}">
  <dimension ref="A1:M18"/>
  <sheetViews>
    <sheetView tabSelected="1" topLeftCell="D1" workbookViewId="0">
      <selection activeCell="K3" sqref="K3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F1" t="s">
        <v>9</v>
      </c>
      <c r="G1" t="s">
        <v>10</v>
      </c>
      <c r="H1" t="s">
        <v>11</v>
      </c>
      <c r="I1" t="s">
        <v>17</v>
      </c>
      <c r="J1" t="s">
        <v>18</v>
      </c>
      <c r="K1" t="s">
        <v>19</v>
      </c>
    </row>
    <row r="2" spans="1:13" x14ac:dyDescent="0.3">
      <c r="A2" t="s">
        <v>4</v>
      </c>
      <c r="B2">
        <v>56</v>
      </c>
      <c r="C2">
        <v>78</v>
      </c>
      <c r="D2">
        <v>65</v>
      </c>
      <c r="E2">
        <f>COUNTA(A2:A7)</f>
        <v>6</v>
      </c>
      <c r="F2">
        <f>SUM(B2:D2)</f>
        <v>199</v>
      </c>
      <c r="G2">
        <f>SUMIF(B2:D2,"&lt;50")</f>
        <v>0</v>
      </c>
      <c r="H2">
        <f>SUMIFS(D2:D7,A2:A7,"=Ankita")</f>
        <v>157</v>
      </c>
      <c r="I2">
        <f>AVERAGE(B2:D2)</f>
        <v>66.333333333333329</v>
      </c>
      <c r="J2">
        <f>AVERAGEIF(B2:D2,"&gt;70")</f>
        <v>78</v>
      </c>
      <c r="K2">
        <f>AVERAGEIFS(K13:K18,I13:I18,"=Ankita",J13:J18,"=A")</f>
        <v>72.5</v>
      </c>
    </row>
    <row r="3" spans="1:13" x14ac:dyDescent="0.3">
      <c r="A3" t="s">
        <v>5</v>
      </c>
      <c r="B3">
        <v>45</v>
      </c>
      <c r="C3">
        <v>78</v>
      </c>
      <c r="D3">
        <v>60</v>
      </c>
      <c r="E3">
        <f>COUNT(B2:B7)</f>
        <v>6</v>
      </c>
      <c r="F3">
        <f t="shared" ref="F3:F7" si="0">SUM(B3:D3)</f>
        <v>183</v>
      </c>
      <c r="G3">
        <f t="shared" ref="G3:G7" si="1">SUMIF(B3:D3,"&lt;50")</f>
        <v>45</v>
      </c>
      <c r="I3">
        <f t="shared" ref="I3:I7" si="2">AVERAGE(B3:D3)</f>
        <v>61</v>
      </c>
      <c r="J3">
        <f t="shared" ref="J3:J7" si="3">AVERAGEIF(B3:D3,"&gt;70")</f>
        <v>78</v>
      </c>
    </row>
    <row r="4" spans="1:13" x14ac:dyDescent="0.3">
      <c r="A4" t="s">
        <v>6</v>
      </c>
      <c r="B4">
        <v>89</v>
      </c>
      <c r="C4">
        <v>82</v>
      </c>
      <c r="D4">
        <v>80</v>
      </c>
      <c r="E4">
        <f>COUNT(B2:B8)</f>
        <v>6</v>
      </c>
      <c r="F4">
        <f t="shared" si="0"/>
        <v>251</v>
      </c>
      <c r="G4">
        <f t="shared" si="1"/>
        <v>0</v>
      </c>
      <c r="I4">
        <f t="shared" si="2"/>
        <v>83.666666666666671</v>
      </c>
      <c r="J4">
        <f t="shared" si="3"/>
        <v>83.666666666666671</v>
      </c>
    </row>
    <row r="5" spans="1:13" x14ac:dyDescent="0.3">
      <c r="A5" t="s">
        <v>7</v>
      </c>
      <c r="B5">
        <v>97</v>
      </c>
      <c r="C5">
        <v>78</v>
      </c>
      <c r="D5">
        <v>98</v>
      </c>
      <c r="E5">
        <f>COUNTA(B2:B8)</f>
        <v>6</v>
      </c>
      <c r="F5">
        <f t="shared" si="0"/>
        <v>273</v>
      </c>
      <c r="G5">
        <f t="shared" si="1"/>
        <v>0</v>
      </c>
      <c r="I5">
        <f t="shared" si="2"/>
        <v>91</v>
      </c>
      <c r="J5">
        <f t="shared" si="3"/>
        <v>91</v>
      </c>
    </row>
    <row r="6" spans="1:13" x14ac:dyDescent="0.3">
      <c r="A6" t="s">
        <v>8</v>
      </c>
      <c r="B6">
        <v>50</v>
      </c>
      <c r="C6">
        <v>83</v>
      </c>
      <c r="D6">
        <v>57</v>
      </c>
      <c r="E6">
        <f>COUNT(C2:C7)</f>
        <v>6</v>
      </c>
      <c r="F6">
        <f t="shared" si="0"/>
        <v>190</v>
      </c>
      <c r="G6">
        <f t="shared" si="1"/>
        <v>0</v>
      </c>
      <c r="I6">
        <f t="shared" si="2"/>
        <v>63.333333333333336</v>
      </c>
      <c r="J6">
        <f t="shared" si="3"/>
        <v>83</v>
      </c>
    </row>
    <row r="7" spans="1:13" x14ac:dyDescent="0.3">
      <c r="A7" t="s">
        <v>4</v>
      </c>
      <c r="B7">
        <v>89</v>
      </c>
      <c r="C7">
        <v>98</v>
      </c>
      <c r="D7">
        <v>92</v>
      </c>
      <c r="E7">
        <f>COUNTA(C2:C7)</f>
        <v>6</v>
      </c>
      <c r="F7">
        <f t="shared" si="0"/>
        <v>279</v>
      </c>
      <c r="G7">
        <f t="shared" si="1"/>
        <v>0</v>
      </c>
      <c r="I7">
        <f t="shared" si="2"/>
        <v>93</v>
      </c>
      <c r="J7">
        <f t="shared" si="3"/>
        <v>93</v>
      </c>
    </row>
    <row r="8" spans="1:13" x14ac:dyDescent="0.3">
      <c r="E8">
        <f>COUNTBLANK(C2:C7)</f>
        <v>0</v>
      </c>
    </row>
    <row r="9" spans="1:13" x14ac:dyDescent="0.3">
      <c r="E9">
        <f>COUNTIFS(D2:D6,"&gt;70",D2:D6,"&lt;90")</f>
        <v>1</v>
      </c>
    </row>
    <row r="10" spans="1:13" x14ac:dyDescent="0.3">
      <c r="E10">
        <f>COUNTIFS(D2:D7,"&gt;50",D2:D7,"=Ankita")</f>
        <v>0</v>
      </c>
    </row>
    <row r="11" spans="1:13" x14ac:dyDescent="0.3">
      <c r="E11">
        <f>COUNTIFS(D2:D7,"=Ankita")</f>
        <v>0</v>
      </c>
    </row>
    <row r="12" spans="1:13" x14ac:dyDescent="0.3">
      <c r="E12">
        <f>COUNTIFS(D2:D6,"&gt;60",B2:B6,"&lt;90")</f>
        <v>2</v>
      </c>
      <c r="I12" t="s">
        <v>12</v>
      </c>
      <c r="J12" t="s">
        <v>13</v>
      </c>
      <c r="K12" t="s">
        <v>1</v>
      </c>
    </row>
    <row r="13" spans="1:13" x14ac:dyDescent="0.3">
      <c r="E13">
        <f>COUNTIFS(D2:D7,"&gt;=60",B2:B7,"&lt;50")</f>
        <v>1</v>
      </c>
      <c r="I13" t="s">
        <v>4</v>
      </c>
      <c r="J13" t="s">
        <v>14</v>
      </c>
      <c r="K13">
        <v>56</v>
      </c>
    </row>
    <row r="14" spans="1:13" x14ac:dyDescent="0.3">
      <c r="I14" t="s">
        <v>5</v>
      </c>
      <c r="J14" t="s">
        <v>15</v>
      </c>
      <c r="K14">
        <v>45</v>
      </c>
    </row>
    <row r="15" spans="1:13" x14ac:dyDescent="0.3">
      <c r="I15" t="s">
        <v>6</v>
      </c>
      <c r="J15" t="s">
        <v>16</v>
      </c>
      <c r="K15">
        <v>89</v>
      </c>
    </row>
    <row r="16" spans="1:13" x14ac:dyDescent="0.3">
      <c r="I16" t="s">
        <v>7</v>
      </c>
      <c r="J16" t="s">
        <v>14</v>
      </c>
      <c r="K16">
        <v>97</v>
      </c>
      <c r="M16">
        <f>SUMIFS(K13:K18,I13:I18,"=Ankita",J13:J18,"=A")</f>
        <v>145</v>
      </c>
    </row>
    <row r="17" spans="9:11" x14ac:dyDescent="0.3">
      <c r="I17" t="s">
        <v>8</v>
      </c>
      <c r="J17" t="s">
        <v>16</v>
      </c>
      <c r="K17">
        <v>50</v>
      </c>
    </row>
    <row r="18" spans="9:11" x14ac:dyDescent="0.3">
      <c r="I18" t="s">
        <v>4</v>
      </c>
      <c r="J18" t="s">
        <v>14</v>
      </c>
      <c r="K18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Gaganndip Pal</dc:creator>
  <cp:lastModifiedBy>Gaganndip Pal</cp:lastModifiedBy>
  <dcterms:created xsi:type="dcterms:W3CDTF">2026-01-08T09:15:21Z</dcterms:created>
  <dcterms:modified xsi:type="dcterms:W3CDTF">2026-01-08T10:59:43Z</dcterms:modified>
</cp:coreProperties>
</file>